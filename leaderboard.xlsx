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pasha\Code\Kitek\mobdev\3kurs\mobdev3-index\"/>
    </mc:Choice>
  </mc:AlternateContent>
  <xr:revisionPtr revIDLastSave="0" documentId="13_ncr:40009_{4C9FE300-3755-44A3-BCE2-8EBA0B0214BD}" xr6:coauthVersionLast="47" xr6:coauthVersionMax="47" xr10:uidLastSave="{00000000-0000-0000-0000-000000000000}"/>
  <bookViews>
    <workbookView xWindow="45" yWindow="450" windowWidth="28710" windowHeight="17505"/>
  </bookViews>
  <sheets>
    <sheet name="Leaderboard" sheetId="9" r:id="rId1"/>
    <sheet name="Тесты" sheetId="5" r:id="rId2"/>
    <sheet name="Сообщения" sheetId="6" r:id="rId3"/>
    <sheet name="Лабы" sheetId="7" r:id="rId4"/>
  </sheets>
  <calcPr calcId="18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9" l="1"/>
  <c r="E3" i="9"/>
  <c r="D4" i="9"/>
  <c r="E4" i="9"/>
  <c r="D5" i="9"/>
  <c r="E5" i="9"/>
  <c r="D6" i="9"/>
  <c r="B6" i="9" s="1"/>
  <c r="E6" i="9"/>
  <c r="D7" i="9"/>
  <c r="B7" i="9" s="1"/>
  <c r="E7" i="9"/>
  <c r="D8" i="9"/>
  <c r="E8" i="9"/>
  <c r="D9" i="9"/>
  <c r="E9" i="9"/>
  <c r="D10" i="9"/>
  <c r="E10" i="9"/>
  <c r="D11" i="9"/>
  <c r="E11" i="9"/>
  <c r="D12" i="9"/>
  <c r="E12" i="9"/>
  <c r="D13" i="9"/>
  <c r="E13" i="9"/>
  <c r="D14" i="9"/>
  <c r="E14" i="9"/>
  <c r="D15" i="9"/>
  <c r="E15" i="9"/>
  <c r="D16" i="9"/>
  <c r="E16" i="9"/>
  <c r="D17" i="9"/>
  <c r="E17" i="9"/>
  <c r="B17" i="9" s="1"/>
  <c r="D18" i="9"/>
  <c r="B18" i="9" s="1"/>
  <c r="E18" i="9"/>
  <c r="D19" i="9"/>
  <c r="B19" i="9" s="1"/>
  <c r="E19" i="9"/>
  <c r="D20" i="9"/>
  <c r="E20" i="9"/>
  <c r="D21" i="9"/>
  <c r="E21" i="9"/>
  <c r="D22" i="9"/>
  <c r="E22" i="9"/>
  <c r="D23" i="9"/>
  <c r="E23" i="9"/>
  <c r="D24" i="9"/>
  <c r="E24" i="9"/>
  <c r="D25" i="9"/>
  <c r="E25" i="9"/>
  <c r="D26" i="9"/>
  <c r="E26" i="9"/>
  <c r="D27" i="9"/>
  <c r="E27" i="9"/>
  <c r="D28" i="9"/>
  <c r="E28" i="9"/>
  <c r="D29" i="9"/>
  <c r="E29" i="9"/>
  <c r="D30" i="9"/>
  <c r="E30" i="9"/>
  <c r="D31" i="9"/>
  <c r="E31" i="9"/>
  <c r="D32" i="9"/>
  <c r="E32" i="9"/>
  <c r="E2" i="9"/>
  <c r="D2" i="9"/>
  <c r="B2" i="9" s="1"/>
  <c r="C3" i="9"/>
  <c r="C4" i="9"/>
  <c r="C5" i="9"/>
  <c r="C6" i="9"/>
  <c r="C7" i="9"/>
  <c r="C8" i="9"/>
  <c r="C9" i="9"/>
  <c r="B9" i="9" s="1"/>
  <c r="C10" i="9"/>
  <c r="B10" i="9" s="1"/>
  <c r="C11" i="9"/>
  <c r="B11" i="9" s="1"/>
  <c r="C12" i="9"/>
  <c r="B12" i="9" s="1"/>
  <c r="C17" i="9"/>
  <c r="C18" i="9"/>
  <c r="C19" i="9"/>
  <c r="C20" i="9"/>
  <c r="C21" i="9"/>
  <c r="B21" i="9" s="1"/>
  <c r="C22" i="9"/>
  <c r="B22" i="9" s="1"/>
  <c r="C23" i="9"/>
  <c r="B23" i="9" s="1"/>
  <c r="C24" i="9"/>
  <c r="B24" i="9" s="1"/>
  <c r="C25" i="9"/>
  <c r="C26" i="9"/>
  <c r="C27" i="9"/>
  <c r="C28" i="9"/>
  <c r="C29" i="9"/>
  <c r="C30" i="9"/>
  <c r="C31" i="9"/>
  <c r="C32" i="9"/>
  <c r="C2" i="9"/>
  <c r="B3" i="9"/>
  <c r="B4" i="9"/>
  <c r="B5" i="9"/>
  <c r="B27" i="9"/>
  <c r="B28" i="9"/>
  <c r="B29" i="9"/>
  <c r="B30" i="9"/>
  <c r="B31" i="9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2" i="7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2" i="6"/>
  <c r="B3" i="5"/>
  <c r="B4" i="5"/>
  <c r="B5" i="5"/>
  <c r="B6" i="5"/>
  <c r="B7" i="5"/>
  <c r="B8" i="5"/>
  <c r="B9" i="5"/>
  <c r="B10" i="5"/>
  <c r="B11" i="5"/>
  <c r="B12" i="5"/>
  <c r="B13" i="5"/>
  <c r="C13" i="9" s="1"/>
  <c r="B14" i="5"/>
  <c r="C14" i="9" s="1"/>
  <c r="B15" i="5"/>
  <c r="C15" i="9" s="1"/>
  <c r="B15" i="9" s="1"/>
  <c r="B16" i="5"/>
  <c r="C16" i="9" s="1"/>
  <c r="B16" i="9" s="1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2" i="5"/>
  <c r="B8" i="9" l="1"/>
  <c r="B32" i="9"/>
  <c r="B26" i="9"/>
  <c r="B14" i="9"/>
  <c r="B20" i="9"/>
  <c r="B25" i="9"/>
  <c r="B13" i="9"/>
  <c r="H1" i="9" s="1"/>
  <c r="H3" i="9"/>
  <c r="H2" i="9"/>
</calcChain>
</file>

<file path=xl/sharedStrings.xml><?xml version="1.0" encoding="utf-8"?>
<sst xmlns="http://schemas.openxmlformats.org/spreadsheetml/2006/main" count="14" uniqueCount="9">
  <si>
    <t>ФИО</t>
  </si>
  <si>
    <t>Общая сумма</t>
  </si>
  <si>
    <t>Сообщения</t>
  </si>
  <si>
    <t>Тесты</t>
  </si>
  <si>
    <t>Лабы</t>
  </si>
  <si>
    <t>Сумма</t>
  </si>
  <si>
    <t>Допуск</t>
  </si>
  <si>
    <t>Полуавтомат</t>
  </si>
  <si>
    <t>Автомат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</si>
</sst>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sz val="11"/>
      <color rgb="FF000000"/>
      <name val="Calibri"/>
      <family val="2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FFBF00"/>
        <bgColor rgb="FFFFBF00"/>
      </patternFill>
    </fill>
    <fill>
      <patternFill patternType="solid">
        <fgColor rgb="FF81D41A"/>
        <bgColor rgb="FF81D41A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5">
    <xf numFmtId="0" fontId="0" fillId="0" borderId="0"/>
    <xf numFmtId="0" fontId="9" fillId="0" borderId="0"/>
    <xf numFmtId="0" fontId="10" fillId="0" borderId="0"/>
    <xf numFmtId="0" fontId="7" fillId="10" borderId="0"/>
    <xf numFmtId="0" fontId="4" fillId="5" borderId="0"/>
    <xf numFmtId="0" fontId="12" fillId="11" borderId="0"/>
    <xf numFmtId="0" fontId="13" fillId="11" borderId="1"/>
    <xf numFmtId="0" fontId="2" fillId="0" borderId="0"/>
    <xf numFmtId="0" fontId="3" fillId="2" borderId="0"/>
    <xf numFmtId="0" fontId="3" fillId="3" borderId="0"/>
    <xf numFmtId="0" fontId="2" fillId="4" borderId="0"/>
    <xf numFmtId="0" fontId="1" fillId="6" borderId="0"/>
    <xf numFmtId="0" fontId="1" fillId="7" borderId="0"/>
    <xf numFmtId="0" fontId="5" fillId="0" borderId="0" applyNumberFormat="0" applyBorder="0" applyProtection="0"/>
    <xf numFmtId="0" fontId="1" fillId="8" borderId="0"/>
    <xf numFmtId="0" fontId="3" fillId="9" borderId="0"/>
    <xf numFmtId="0" fontId="6" fillId="0" borderId="0"/>
    <xf numFmtId="0" fontId="1" fillId="0" borderId="0"/>
    <xf numFmtId="0" fontId="8" fillId="0" borderId="0"/>
    <xf numFmtId="0" fontId="11" fillId="0" borderId="0"/>
    <xf numFmtId="0" fontId="1" fillId="7" borderId="0"/>
    <xf numFmtId="0" fontId="14" fillId="0" borderId="0"/>
    <xf numFmtId="0" fontId="1" fillId="0" borderId="0"/>
    <xf numFmtId="0" fontId="1" fillId="0" borderId="0"/>
    <xf numFmtId="0" fontId="4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25">
    <cellStyle name="Accent" xfId="7"/>
    <cellStyle name="Accent 1" xfId="8"/>
    <cellStyle name="Accent 2" xfId="9"/>
    <cellStyle name="Accent 3" xfId="10"/>
    <cellStyle name="Bad" xfId="4" builtinId="27" customBuiltin="1"/>
    <cellStyle name="Benefits" xfId="11"/>
    <cellStyle name="cf1" xfId="12"/>
    <cellStyle name="Default" xfId="13"/>
    <cellStyle name="Didn't pass" xfId="14"/>
    <cellStyle name="Error" xfId="15"/>
    <cellStyle name="Footnote" xfId="16"/>
    <cellStyle name="Good" xfId="3" builtinId="26" customBuiltin="1"/>
    <cellStyle name="Grading" xfId="17"/>
    <cellStyle name="Heading" xfId="18"/>
    <cellStyle name="Heading 1" xfId="1" builtinId="16" customBuiltin="1"/>
    <cellStyle name="Heading 2" xfId="2" builtinId="17" customBuiltin="1"/>
    <cellStyle name="Hyperlink" xfId="19"/>
    <cellStyle name="Neutral" xfId="5" builtinId="28" customBuiltin="1"/>
    <cellStyle name="Normal" xfId="0" builtinId="0" customBuiltin="1"/>
    <cellStyle name="Note" xfId="6" builtinId="10" customBuiltin="1"/>
    <cellStyle name="Pass" xfId="20"/>
    <cellStyle name="Result" xfId="21"/>
    <cellStyle name="Status" xfId="22"/>
    <cellStyle name="Text" xfId="23"/>
    <cellStyle name="Warning" xfId="24"/>
  </cellStyles>
  <dxfs count="2">
    <dxf>
      <fill>
        <patternFill patternType="solid">
          <fgColor rgb="FF81D41A"/>
          <bgColor rgb="FF81D41A"/>
        </patternFill>
      </fill>
    </dxf>
    <dxf>
      <fill>
        <patternFill patternType="solid">
          <fgColor rgb="FF81D41A"/>
          <bgColor rgb="FF81D41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activeCell="C40" sqref="C40"/>
    </sheetView>
  </sheetViews>
  <sheetFormatPr defaultRowHeight="12.75"/>
  <cols>
    <col min="1" max="1" width="45.7109375" customWidth="1"/>
    <col min="2" max="5" width="14.42578125" customWidth="1"/>
    <col min="7" max="7" width="13" customWidth="1"/>
  </cols>
  <sheetData>
    <row r="1" spans="1:8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G1" t="s">
        <v>6</v>
      </c>
      <c r="H1">
        <f>MAX($B$2:$B$50)*0.4</f>
        <v>0</v>
      </c>
    </row>
    <row r="2" spans="1:8">
      <c r="B2">
        <f t="shared" ref="B2:B32" si="0">SUM(C2:E2)</f>
        <v>0</v>
      </c>
      <c r="C2">
        <f>Тесты!B2</f>
        <v>0</v>
      </c>
      <c r="D2">
        <f>Сообщения!C2</f>
        <v>0</v>
      </c>
      <c r="E2">
        <f>Лабы!D2</f>
        <v>0</v>
      </c>
      <c r="G2" t="s">
        <v>7</v>
      </c>
      <c r="H2">
        <f>MAX($B$2:$B$50)*0.8</f>
        <v>0</v>
      </c>
    </row>
    <row r="3" spans="1:8">
      <c r="B3">
        <f t="shared" si="0"/>
        <v>0</v>
      </c>
      <c r="C3">
        <f>Тесты!B3</f>
        <v>0</v>
      </c>
      <c r="D3">
        <f>Сообщения!C3</f>
        <v>0</v>
      </c>
      <c r="E3">
        <f>Лабы!D3</f>
        <v>0</v>
      </c>
      <c r="G3" t="s">
        <v>8</v>
      </c>
      <c r="H3">
        <f>MAX($B$2:$B$50)*0.9</f>
        <v>0</v>
      </c>
    </row>
    <row r="4" spans="1:8">
      <c r="B4">
        <f t="shared" si="0"/>
        <v>0</v>
      </c>
      <c r="C4">
        <f>Тесты!B4</f>
        <v>0</v>
      </c>
      <c r="D4">
        <f>Сообщения!C4</f>
        <v>0</v>
      </c>
      <c r="E4">
        <f>Лабы!D4</f>
        <v>0</v>
      </c>
    </row>
    <row r="5" spans="1:8">
      <c r="B5">
        <f t="shared" si="0"/>
        <v>0</v>
      </c>
      <c r="C5">
        <f>Тесты!B5</f>
        <v>0</v>
      </c>
      <c r="D5">
        <f>Сообщения!C5</f>
        <v>0</v>
      </c>
      <c r="E5">
        <f>Лабы!D5</f>
        <v>0</v>
      </c>
    </row>
    <row r="6" spans="1:8">
      <c r="B6">
        <f t="shared" si="0"/>
        <v>0</v>
      </c>
      <c r="C6">
        <f>Тесты!B6</f>
        <v>0</v>
      </c>
      <c r="D6">
        <f>Сообщения!C6</f>
        <v>0</v>
      </c>
      <c r="E6">
        <f>Лабы!D6</f>
        <v>0</v>
      </c>
    </row>
    <row r="7" spans="1:8">
      <c r="B7">
        <f t="shared" si="0"/>
        <v>0</v>
      </c>
      <c r="C7">
        <f>Тесты!B7</f>
        <v>0</v>
      </c>
      <c r="D7">
        <f>Сообщения!C7</f>
        <v>0</v>
      </c>
      <c r="E7">
        <f>Лабы!D7</f>
        <v>0</v>
      </c>
    </row>
    <row r="8" spans="1:8">
      <c r="B8">
        <f t="shared" si="0"/>
        <v>0</v>
      </c>
      <c r="C8">
        <f>Тесты!B8</f>
        <v>0</v>
      </c>
      <c r="D8">
        <f>Сообщения!C8</f>
        <v>0</v>
      </c>
      <c r="E8">
        <f>Лабы!D8</f>
        <v>0</v>
      </c>
    </row>
    <row r="9" spans="1:8">
      <c r="B9">
        <f t="shared" si="0"/>
        <v>0</v>
      </c>
      <c r="C9">
        <f>Тесты!B9</f>
        <v>0</v>
      </c>
      <c r="D9">
        <f>Сообщения!C9</f>
        <v>0</v>
      </c>
      <c r="E9">
        <f>Лабы!D9</f>
        <v>0</v>
      </c>
    </row>
    <row r="10" spans="1:8">
      <c r="B10">
        <f t="shared" si="0"/>
        <v>0</v>
      </c>
      <c r="C10">
        <f>Тесты!B10</f>
        <v>0</v>
      </c>
      <c r="D10">
        <f>Сообщения!C10</f>
        <v>0</v>
      </c>
      <c r="E10">
        <f>Лабы!D10</f>
        <v>0</v>
      </c>
    </row>
    <row r="11" spans="1:8">
      <c r="B11">
        <f t="shared" si="0"/>
        <v>0</v>
      </c>
      <c r="C11">
        <f>Тесты!B11</f>
        <v>0</v>
      </c>
      <c r="D11">
        <f>Сообщения!C11</f>
        <v>0</v>
      </c>
      <c r="E11">
        <f>Лабы!D11</f>
        <v>0</v>
      </c>
    </row>
    <row r="12" spans="1:8">
      <c r="B12">
        <f t="shared" si="0"/>
        <v>0</v>
      </c>
      <c r="C12">
        <f>Тесты!B12</f>
        <v>0</v>
      </c>
      <c r="D12">
        <f>Сообщения!C12</f>
        <v>0</v>
      </c>
      <c r="E12">
        <f>Лабы!D12</f>
        <v>0</v>
      </c>
    </row>
    <row r="13" spans="1:8">
      <c r="B13">
        <f t="shared" si="0"/>
        <v>0</v>
      </c>
      <c r="C13">
        <f>Тесты!B13</f>
        <v>0</v>
      </c>
      <c r="D13">
        <f>Сообщения!C13</f>
        <v>0</v>
      </c>
      <c r="E13">
        <f>Лабы!D13</f>
        <v>0</v>
      </c>
    </row>
    <row r="14" spans="1:8">
      <c r="B14">
        <f t="shared" si="0"/>
        <v>0</v>
      </c>
      <c r="C14">
        <f>Тесты!B14</f>
        <v>0</v>
      </c>
      <c r="D14">
        <f>Сообщения!C14</f>
        <v>0</v>
      </c>
      <c r="E14">
        <f>Лабы!D14</f>
        <v>0</v>
      </c>
    </row>
    <row r="15" spans="1:8">
      <c r="B15">
        <f t="shared" si="0"/>
        <v>0</v>
      </c>
      <c r="C15">
        <f>Тесты!B15</f>
        <v>0</v>
      </c>
      <c r="D15">
        <f>Сообщения!C15</f>
        <v>0</v>
      </c>
      <c r="E15">
        <f>Лабы!D15</f>
        <v>0</v>
      </c>
    </row>
    <row r="16" spans="1:8">
      <c r="B16">
        <f t="shared" si="0"/>
        <v>0</v>
      </c>
      <c r="C16">
        <f>Тесты!B16</f>
        <v>0</v>
      </c>
      <c r="D16">
        <f>Сообщения!C16</f>
        <v>0</v>
      </c>
      <c r="E16">
        <f>Лабы!D16</f>
        <v>0</v>
      </c>
    </row>
    <row r="17" spans="2:5">
      <c r="B17">
        <f t="shared" si="0"/>
        <v>0</v>
      </c>
      <c r="C17">
        <f>Тесты!B17</f>
        <v>0</v>
      </c>
      <c r="D17">
        <f>Сообщения!C17</f>
        <v>0</v>
      </c>
      <c r="E17">
        <f>Лабы!D17</f>
        <v>0</v>
      </c>
    </row>
    <row r="18" spans="2:5">
      <c r="B18">
        <f t="shared" si="0"/>
        <v>0</v>
      </c>
      <c r="C18">
        <f>Тесты!B18</f>
        <v>0</v>
      </c>
      <c r="D18">
        <f>Сообщения!C18</f>
        <v>0</v>
      </c>
      <c r="E18">
        <f>Лабы!D18</f>
        <v>0</v>
      </c>
    </row>
    <row r="19" spans="2:5">
      <c r="B19">
        <f t="shared" si="0"/>
        <v>0</v>
      </c>
      <c r="C19">
        <f>Тесты!B19</f>
        <v>0</v>
      </c>
      <c r="D19">
        <f>Сообщения!C19</f>
        <v>0</v>
      </c>
      <c r="E19">
        <f>Лабы!D19</f>
        <v>0</v>
      </c>
    </row>
    <row r="20" spans="2:5">
      <c r="B20">
        <f t="shared" si="0"/>
        <v>0</v>
      </c>
      <c r="C20">
        <f>Тесты!B20</f>
        <v>0</v>
      </c>
      <c r="D20">
        <f>Сообщения!C20</f>
        <v>0</v>
      </c>
      <c r="E20">
        <f>Лабы!D20</f>
        <v>0</v>
      </c>
    </row>
    <row r="21" spans="2:5">
      <c r="B21">
        <f t="shared" si="0"/>
        <v>0</v>
      </c>
      <c r="C21">
        <f>Тесты!B21</f>
        <v>0</v>
      </c>
      <c r="D21">
        <f>Сообщения!C21</f>
        <v>0</v>
      </c>
      <c r="E21">
        <f>Лабы!D21</f>
        <v>0</v>
      </c>
    </row>
    <row r="22" spans="2:5">
      <c r="B22">
        <f t="shared" si="0"/>
        <v>0</v>
      </c>
      <c r="C22">
        <f>Тесты!B22</f>
        <v>0</v>
      </c>
      <c r="D22">
        <f>Сообщения!C22</f>
        <v>0</v>
      </c>
      <c r="E22">
        <f>Лабы!D22</f>
        <v>0</v>
      </c>
    </row>
    <row r="23" spans="2:5">
      <c r="B23">
        <f t="shared" si="0"/>
        <v>0</v>
      </c>
      <c r="C23">
        <f>Тесты!B23</f>
        <v>0</v>
      </c>
      <c r="D23">
        <f>Сообщения!C23</f>
        <v>0</v>
      </c>
      <c r="E23">
        <f>Лабы!D23</f>
        <v>0</v>
      </c>
    </row>
    <row r="24" spans="2:5">
      <c r="B24">
        <f t="shared" si="0"/>
        <v>0</v>
      </c>
      <c r="C24">
        <f>Тесты!B24</f>
        <v>0</v>
      </c>
      <c r="D24">
        <f>Сообщения!C24</f>
        <v>0</v>
      </c>
      <c r="E24">
        <f>Лабы!D24</f>
        <v>0</v>
      </c>
    </row>
    <row r="25" spans="2:5">
      <c r="B25">
        <f t="shared" si="0"/>
        <v>0</v>
      </c>
      <c r="C25">
        <f>Тесты!B25</f>
        <v>0</v>
      </c>
      <c r="D25">
        <f>Сообщения!C25</f>
        <v>0</v>
      </c>
      <c r="E25">
        <f>Лабы!D25</f>
        <v>0</v>
      </c>
    </row>
    <row r="26" spans="2:5">
      <c r="B26">
        <f t="shared" si="0"/>
        <v>0</v>
      </c>
      <c r="C26">
        <f>Тесты!B26</f>
        <v>0</v>
      </c>
      <c r="D26">
        <f>Сообщения!C26</f>
        <v>0</v>
      </c>
      <c r="E26">
        <f>Лабы!D26</f>
        <v>0</v>
      </c>
    </row>
    <row r="27" spans="2:5">
      <c r="B27">
        <f t="shared" si="0"/>
        <v>0</v>
      </c>
      <c r="C27">
        <f>Тесты!B27</f>
        <v>0</v>
      </c>
      <c r="D27">
        <f>Сообщения!C27</f>
        <v>0</v>
      </c>
      <c r="E27">
        <f>Лабы!D27</f>
        <v>0</v>
      </c>
    </row>
    <row r="28" spans="2:5">
      <c r="B28">
        <f t="shared" si="0"/>
        <v>0</v>
      </c>
      <c r="C28">
        <f>Тесты!B28</f>
        <v>0</v>
      </c>
      <c r="D28">
        <f>Сообщения!C28</f>
        <v>0</v>
      </c>
      <c r="E28">
        <f>Лабы!D28</f>
        <v>0</v>
      </c>
    </row>
    <row r="29" spans="2:5">
      <c r="B29">
        <f t="shared" si="0"/>
        <v>0</v>
      </c>
      <c r="C29">
        <f>Тесты!B29</f>
        <v>0</v>
      </c>
      <c r="D29">
        <f>Сообщения!C29</f>
        <v>0</v>
      </c>
      <c r="E29">
        <f>Лабы!D29</f>
        <v>0</v>
      </c>
    </row>
    <row r="30" spans="2:5">
      <c r="B30">
        <f t="shared" si="0"/>
        <v>0</v>
      </c>
      <c r="C30">
        <f>Тесты!B30</f>
        <v>0</v>
      </c>
      <c r="D30">
        <f>Сообщения!C30</f>
        <v>0</v>
      </c>
      <c r="E30">
        <f>Лабы!D30</f>
        <v>0</v>
      </c>
    </row>
    <row r="31" spans="2:5">
      <c r="B31">
        <f t="shared" si="0"/>
        <v>0</v>
      </c>
      <c r="C31">
        <f>Тесты!B31</f>
        <v>0</v>
      </c>
      <c r="D31">
        <f>Сообщения!C31</f>
        <v>0</v>
      </c>
      <c r="E31">
        <f>Лабы!D31</f>
        <v>0</v>
      </c>
    </row>
    <row r="32" spans="2:5">
      <c r="B32">
        <f t="shared" si="0"/>
        <v>0</v>
      </c>
      <c r="C32">
        <f>Тесты!B32</f>
        <v>0</v>
      </c>
      <c r="D32">
        <f>Сообщения!C32</f>
        <v>0</v>
      </c>
      <c r="E32">
        <f>Лабы!D32</f>
        <v>0</v>
      </c>
    </row>
  </sheetData>
  <conditionalFormatting sqref="B2:B32">
    <cfRule type="cellIs" dxfId="0" priority="1" stopIfTrue="1" operator="greaterThan">
      <formula>MAX(B2:B18)*0.8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selection activeCell="C20" sqref="C13:C20"/>
    </sheetView>
  </sheetViews>
  <sheetFormatPr defaultRowHeight="12.75"/>
  <cols>
    <col min="1" max="1" width="45.7109375" customWidth="1"/>
  </cols>
  <sheetData>
    <row r="1" spans="1:8" s="1" customFormat="1">
      <c r="A1" s="2" t="s">
        <v>0</v>
      </c>
      <c r="B1" s="2" t="s">
        <v>5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</row>
    <row r="2" spans="1:8">
      <c r="B2">
        <f t="shared" ref="B2:B32" si="0">SUMPRODUCT((C2:Z2&lt;&gt;"")*(COUNTA($A$2:$A$50) - C2:Z2 + 1))</f>
        <v>0</v>
      </c>
    </row>
    <row r="3" spans="1:8">
      <c r="B3">
        <f t="shared" si="0"/>
        <v>0</v>
      </c>
    </row>
    <row r="4" spans="1:8">
      <c r="B4">
        <f t="shared" si="0"/>
        <v>0</v>
      </c>
    </row>
    <row r="5" spans="1:8">
      <c r="B5">
        <f t="shared" si="0"/>
        <v>0</v>
      </c>
    </row>
    <row r="6" spans="1:8">
      <c r="B6">
        <f t="shared" si="0"/>
        <v>0</v>
      </c>
    </row>
    <row r="7" spans="1:8">
      <c r="B7">
        <f t="shared" si="0"/>
        <v>0</v>
      </c>
    </row>
    <row r="8" spans="1:8">
      <c r="B8">
        <f t="shared" si="0"/>
        <v>0</v>
      </c>
    </row>
    <row r="9" spans="1:8">
      <c r="B9">
        <f t="shared" si="0"/>
        <v>0</v>
      </c>
    </row>
    <row r="10" spans="1:8">
      <c r="B10">
        <f t="shared" si="0"/>
        <v>0</v>
      </c>
    </row>
    <row r="11" spans="1:8">
      <c r="B11">
        <f t="shared" si="0"/>
        <v>0</v>
      </c>
    </row>
    <row r="12" spans="1:8">
      <c r="B12">
        <f t="shared" si="0"/>
        <v>0</v>
      </c>
    </row>
    <row r="13" spans="1:8">
      <c r="B13">
        <f t="shared" si="0"/>
        <v>0</v>
      </c>
    </row>
    <row r="14" spans="1:8">
      <c r="B14">
        <f t="shared" si="0"/>
        <v>0</v>
      </c>
    </row>
    <row r="15" spans="1:8">
      <c r="B15">
        <f t="shared" si="0"/>
        <v>0</v>
      </c>
    </row>
    <row r="16" spans="1:8">
      <c r="B16">
        <f t="shared" si="0"/>
        <v>0</v>
      </c>
    </row>
    <row r="17" spans="2:2">
      <c r="B17">
        <f t="shared" si="0"/>
        <v>0</v>
      </c>
    </row>
    <row r="18" spans="2:2">
      <c r="B18">
        <f t="shared" si="0"/>
        <v>0</v>
      </c>
    </row>
    <row r="19" spans="2:2">
      <c r="B19">
        <f t="shared" si="0"/>
        <v>0</v>
      </c>
    </row>
    <row r="20" spans="2:2">
      <c r="B20">
        <f t="shared" si="0"/>
        <v>0</v>
      </c>
    </row>
    <row r="21" spans="2:2">
      <c r="B21">
        <f t="shared" si="0"/>
        <v>0</v>
      </c>
    </row>
    <row r="22" spans="2:2">
      <c r="B22">
        <f t="shared" si="0"/>
        <v>0</v>
      </c>
    </row>
    <row r="23" spans="2:2">
      <c r="B23">
        <f t="shared" si="0"/>
        <v>0</v>
      </c>
    </row>
    <row r="24" spans="2:2">
      <c r="B24">
        <f t="shared" si="0"/>
        <v>0</v>
      </c>
    </row>
    <row r="25" spans="2:2">
      <c r="B25">
        <f t="shared" si="0"/>
        <v>0</v>
      </c>
    </row>
    <row r="26" spans="2:2">
      <c r="B26">
        <f t="shared" si="0"/>
        <v>0</v>
      </c>
    </row>
    <row r="27" spans="2:2">
      <c r="B27">
        <f t="shared" si="0"/>
        <v>0</v>
      </c>
    </row>
    <row r="28" spans="2:2">
      <c r="B28">
        <f t="shared" si="0"/>
        <v>0</v>
      </c>
    </row>
    <row r="29" spans="2:2">
      <c r="B29">
        <f t="shared" si="0"/>
        <v>0</v>
      </c>
    </row>
    <row r="30" spans="2:2">
      <c r="B30">
        <f t="shared" si="0"/>
        <v>0</v>
      </c>
    </row>
    <row r="31" spans="2:2">
      <c r="B31">
        <f t="shared" si="0"/>
        <v>0</v>
      </c>
    </row>
    <row r="32" spans="2:2">
      <c r="B32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selection sqref="A1:XFD1"/>
    </sheetView>
  </sheetViews>
  <sheetFormatPr defaultRowHeight="12.75"/>
  <cols>
    <col min="1" max="1" width="45.7109375" customWidth="1"/>
  </cols>
  <sheetData>
    <row r="1" spans="1:8" s="2" customFormat="1">
      <c r="A1" s="2" t="s">
        <v>0</v>
      </c>
      <c r="B1" s="2" t="s">
        <v>5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</row>
    <row r="2" spans="1:8">
      <c r="B2">
        <f>(SUM(C2:E2)*COUNTA($A$2:$A$50))*0.6</f>
        <v>0</v>
      </c>
    </row>
    <row r="3" spans="1:8">
      <c r="B3">
        <f t="shared" ref="B3:B32" si="0">(SUM(C3:E3)*COUNTA($A$2:$A$50))*0.6</f>
        <v>0</v>
      </c>
    </row>
    <row r="4" spans="1:8">
      <c r="B4">
        <f t="shared" si="0"/>
        <v>0</v>
      </c>
    </row>
    <row r="5" spans="1:8">
      <c r="B5">
        <f t="shared" si="0"/>
        <v>0</v>
      </c>
    </row>
    <row r="6" spans="1:8">
      <c r="B6">
        <f t="shared" si="0"/>
        <v>0</v>
      </c>
    </row>
    <row r="7" spans="1:8">
      <c r="B7">
        <f t="shared" si="0"/>
        <v>0</v>
      </c>
    </row>
    <row r="8" spans="1:8">
      <c r="B8">
        <f t="shared" si="0"/>
        <v>0</v>
      </c>
    </row>
    <row r="9" spans="1:8">
      <c r="B9">
        <f t="shared" si="0"/>
        <v>0</v>
      </c>
    </row>
    <row r="10" spans="1:8">
      <c r="B10">
        <f t="shared" si="0"/>
        <v>0</v>
      </c>
    </row>
    <row r="11" spans="1:8">
      <c r="B11">
        <f t="shared" si="0"/>
        <v>0</v>
      </c>
    </row>
    <row r="12" spans="1:8">
      <c r="B12">
        <f t="shared" si="0"/>
        <v>0</v>
      </c>
    </row>
    <row r="13" spans="1:8">
      <c r="B13">
        <f t="shared" si="0"/>
        <v>0</v>
      </c>
    </row>
    <row r="14" spans="1:8">
      <c r="B14">
        <f t="shared" si="0"/>
        <v>0</v>
      </c>
    </row>
    <row r="15" spans="1:8">
      <c r="B15">
        <f t="shared" si="0"/>
        <v>0</v>
      </c>
    </row>
    <row r="16" spans="1:8">
      <c r="B16">
        <f t="shared" si="0"/>
        <v>0</v>
      </c>
    </row>
    <row r="17" spans="2:2">
      <c r="B17">
        <f t="shared" si="0"/>
        <v>0</v>
      </c>
    </row>
    <row r="18" spans="2:2">
      <c r="B18">
        <f t="shared" si="0"/>
        <v>0</v>
      </c>
    </row>
    <row r="19" spans="2:2">
      <c r="B19">
        <f t="shared" si="0"/>
        <v>0</v>
      </c>
    </row>
    <row r="20" spans="2:2">
      <c r="B20">
        <f t="shared" si="0"/>
        <v>0</v>
      </c>
    </row>
    <row r="21" spans="2:2">
      <c r="B21">
        <f t="shared" si="0"/>
        <v>0</v>
      </c>
    </row>
    <row r="22" spans="2:2">
      <c r="B22">
        <f t="shared" si="0"/>
        <v>0</v>
      </c>
    </row>
    <row r="23" spans="2:2">
      <c r="B23">
        <f t="shared" si="0"/>
        <v>0</v>
      </c>
    </row>
    <row r="24" spans="2:2">
      <c r="B24">
        <f t="shared" si="0"/>
        <v>0</v>
      </c>
    </row>
    <row r="25" spans="2:2">
      <c r="B25">
        <f t="shared" si="0"/>
        <v>0</v>
      </c>
    </row>
    <row r="26" spans="2:2">
      <c r="B26">
        <f t="shared" si="0"/>
        <v>0</v>
      </c>
    </row>
    <row r="27" spans="2:2">
      <c r="B27">
        <f t="shared" si="0"/>
        <v>0</v>
      </c>
    </row>
    <row r="28" spans="2:2">
      <c r="B28">
        <f t="shared" si="0"/>
        <v>0</v>
      </c>
    </row>
    <row r="29" spans="2:2">
      <c r="B29">
        <f t="shared" si="0"/>
        <v>0</v>
      </c>
    </row>
    <row r="30" spans="2:2">
      <c r="B30">
        <f t="shared" si="0"/>
        <v>0</v>
      </c>
    </row>
    <row r="31" spans="2:2">
      <c r="B31">
        <f t="shared" si="0"/>
        <v>0</v>
      </c>
    </row>
    <row r="32" spans="2:2">
      <c r="B3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selection sqref="A1:A1048576"/>
    </sheetView>
  </sheetViews>
  <sheetFormatPr defaultRowHeight="12.75"/>
  <cols>
    <col min="1" max="1" width="45.7109375" customWidth="1"/>
  </cols>
  <sheetData>
    <row r="1" spans="1:8" s="2" customFormat="1">
      <c r="A1" s="2" t="s">
        <v>0</v>
      </c>
      <c r="B1" s="2" t="s">
        <v>5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</row>
    <row r="2" spans="1:8">
      <c r="B2">
        <f>(SUM(C2:E2)*COUNTA($A$2:$A$50))*0.3</f>
        <v>0</v>
      </c>
    </row>
    <row r="3" spans="1:8">
      <c r="B3">
        <f t="shared" ref="B3:B32" si="0">(SUM(C3:E3)*COUNTA($A$2:$A$50))*0.3</f>
        <v>0</v>
      </c>
    </row>
    <row r="4" spans="1:8">
      <c r="B4">
        <f t="shared" si="0"/>
        <v>0</v>
      </c>
    </row>
    <row r="5" spans="1:8">
      <c r="B5">
        <f t="shared" si="0"/>
        <v>0</v>
      </c>
    </row>
    <row r="6" spans="1:8">
      <c r="B6">
        <f t="shared" si="0"/>
        <v>0</v>
      </c>
    </row>
    <row r="7" spans="1:8">
      <c r="B7">
        <f t="shared" si="0"/>
        <v>0</v>
      </c>
    </row>
    <row r="8" spans="1:8">
      <c r="B8">
        <f t="shared" si="0"/>
        <v>0</v>
      </c>
    </row>
    <row r="9" spans="1:8">
      <c r="B9">
        <f t="shared" si="0"/>
        <v>0</v>
      </c>
    </row>
    <row r="10" spans="1:8">
      <c r="B10">
        <f t="shared" si="0"/>
        <v>0</v>
      </c>
    </row>
    <row r="11" spans="1:8">
      <c r="B11">
        <f t="shared" si="0"/>
        <v>0</v>
      </c>
    </row>
    <row r="12" spans="1:8">
      <c r="B12">
        <f t="shared" si="0"/>
        <v>0</v>
      </c>
    </row>
    <row r="13" spans="1:8">
      <c r="B13">
        <f t="shared" si="0"/>
        <v>0</v>
      </c>
    </row>
    <row r="14" spans="1:8">
      <c r="B14">
        <f t="shared" si="0"/>
        <v>0</v>
      </c>
    </row>
    <row r="15" spans="1:8">
      <c r="B15">
        <f t="shared" si="0"/>
        <v>0</v>
      </c>
    </row>
    <row r="16" spans="1:8">
      <c r="B16">
        <f t="shared" si="0"/>
        <v>0</v>
      </c>
    </row>
    <row r="17" spans="2:2">
      <c r="B17">
        <f t="shared" si="0"/>
        <v>0</v>
      </c>
    </row>
    <row r="18" spans="2:2">
      <c r="B18">
        <f t="shared" si="0"/>
        <v>0</v>
      </c>
    </row>
    <row r="19" spans="2:2">
      <c r="B19">
        <f t="shared" si="0"/>
        <v>0</v>
      </c>
    </row>
    <row r="20" spans="2:2">
      <c r="B20">
        <f t="shared" si="0"/>
        <v>0</v>
      </c>
    </row>
    <row r="21" spans="2:2">
      <c r="B21">
        <f t="shared" si="0"/>
        <v>0</v>
      </c>
    </row>
    <row r="22" spans="2:2">
      <c r="B22">
        <f t="shared" si="0"/>
        <v>0</v>
      </c>
    </row>
    <row r="23" spans="2:2">
      <c r="B23">
        <f t="shared" si="0"/>
        <v>0</v>
      </c>
    </row>
    <row r="24" spans="2:2">
      <c r="B24">
        <f t="shared" si="0"/>
        <v>0</v>
      </c>
    </row>
    <row r="25" spans="2:2">
      <c r="B25">
        <f t="shared" si="0"/>
        <v>0</v>
      </c>
    </row>
    <row r="26" spans="2:2">
      <c r="B26">
        <f t="shared" si="0"/>
        <v>0</v>
      </c>
    </row>
    <row r="27" spans="2:2">
      <c r="B27">
        <f t="shared" si="0"/>
        <v>0</v>
      </c>
    </row>
    <row r="28" spans="2:2">
      <c r="B28">
        <f t="shared" si="0"/>
        <v>0</v>
      </c>
    </row>
    <row r="29" spans="2:2">
      <c r="B29">
        <f t="shared" si="0"/>
        <v>0</v>
      </c>
    </row>
    <row r="30" spans="2:2">
      <c r="B30">
        <f t="shared" si="0"/>
        <v>0</v>
      </c>
    </row>
    <row r="31" spans="2:2">
      <c r="B31">
        <f t="shared" si="0"/>
        <v>0</v>
      </c>
    </row>
    <row r="32" spans="2:2">
      <c r="B32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Leaderboard</vt:lpstr>
      <vt:lpstr>Тесты</vt:lpstr>
      <vt:lpstr>Сообщения</vt:lpstr>
      <vt:lpstr>Лабы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pasha</dc:creator>
  <cp:lastModifiedBy>pasha</cp:lastModifiedBy>
  <cp:revision>11</cp:revision>
  <dcterms:created xsi:type="dcterms:W3CDTF">2024-10-22T21:18:19Z</dcterms:created>
  <dcterms:modified xsi:type="dcterms:W3CDTF">2025-01-20T06:29:11Z</dcterms:modified>
</cp:coreProperties>
</file>